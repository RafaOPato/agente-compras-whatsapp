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##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7EAEE"/>
        <bgColor rgb="00E7EAEE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9AA3AD"/>
      </left>
      <right style="thin">
        <color rgb="009AA3AD"/>
      </right>
      <top style="thin">
        <color rgb="009AA3AD"/>
      </top>
      <bottom style="thin">
        <color rgb="009AA3A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pivotButton="0" quotePrefix="0" xfId="0"/>
    <xf numFmtId="164" fontId="0" fillId="4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5" borderId="1" pivotButton="0" quotePrefix="0" xfId="0"/>
    <xf numFmtId="164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0" customWidth="1" min="4" max="4"/>
    <col width="15" customWidth="1" min="5" max="5"/>
    <col width="17" customWidth="1" min="6" max="6"/>
    <col width="15" customWidth="1" min="7" max="7"/>
    <col width="17" customWidth="1" min="8" max="8"/>
    <col width="15" customWidth="1" min="9" max="9"/>
    <col width="17" customWidth="1" min="10" max="10"/>
  </cols>
  <sheetData>
    <row r="1" ht="21" customHeight="1">
      <c r="A1" s="1" t="inlineStr">
        <is>
          <t>Obra: Residencial Aurora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1" customHeight="1">
      <c r="A2" s="1" t="inlineStr">
        <is>
          <t>Endereço: Rua Exemplo, 100 - Bairro Modelo, Cidade Exemplo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1" customHeight="1">
      <c r="A3" s="3" t="inlineStr">
        <is>
          <t>MAPA DE CONCORRÊNCIA - COT-260115-0001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6" customHeight="1">
      <c r="A4" s="3" t="inlineStr">
        <is>
          <t>Item</t>
        </is>
      </c>
      <c r="B4" s="3" t="inlineStr">
        <is>
          <t>DESCRIÇÃO</t>
        </is>
      </c>
      <c r="C4" s="3" t="inlineStr">
        <is>
          <t>Quantidade</t>
        </is>
      </c>
      <c r="D4" s="3" t="inlineStr">
        <is>
          <t>Unidade</t>
        </is>
      </c>
      <c r="E4" s="4" t="inlineStr">
        <is>
          <t>Fornecedor Alfa Ltda</t>
        </is>
      </c>
      <c r="F4" s="2" t="n"/>
      <c r="G4" s="4" t="inlineStr">
        <is>
          <t>Fornecedor Beta ME</t>
        </is>
      </c>
      <c r="H4" s="2" t="n"/>
      <c r="I4" s="4" t="inlineStr">
        <is>
          <t>Fornecedor Gama Ltda</t>
        </is>
      </c>
      <c r="J4" s="2" t="n"/>
    </row>
    <row r="5">
      <c r="A5" s="2" t="n"/>
      <c r="B5" s="2" t="n"/>
      <c r="C5" s="2" t="n"/>
      <c r="D5" s="2" t="n"/>
      <c r="E5" s="5" t="inlineStr">
        <is>
          <t>+55 11 90000-0001</t>
        </is>
      </c>
      <c r="F5" s="2" t="n"/>
      <c r="G5" s="5" t="inlineStr">
        <is>
          <t>+55 11 90000-0002</t>
        </is>
      </c>
      <c r="H5" s="2" t="n"/>
      <c r="I5" s="5" t="inlineStr">
        <is>
          <t>+55 11 90000-0003</t>
        </is>
      </c>
      <c r="J5" s="2" t="n"/>
    </row>
    <row r="6">
      <c r="A6" s="2" t="n"/>
      <c r="B6" s="2" t="n"/>
      <c r="C6" s="2" t="n"/>
      <c r="D6" s="2" t="n"/>
      <c r="E6" s="5" t="inlineStr">
        <is>
          <t>Atendimento Alfa</t>
        </is>
      </c>
      <c r="F6" s="2" t="n"/>
      <c r="G6" s="5" t="inlineStr">
        <is>
          <t>Atendimento Beta</t>
        </is>
      </c>
      <c r="H6" s="2" t="n"/>
      <c r="I6" s="5" t="inlineStr">
        <is>
          <t>Atendimento Gama</t>
        </is>
      </c>
      <c r="J6" s="2" t="n"/>
    </row>
    <row r="7">
      <c r="A7" s="2" t="n"/>
      <c r="B7" s="2" t="n"/>
      <c r="C7" s="2" t="n"/>
      <c r="D7" s="2" t="n"/>
      <c r="E7" s="6" t="inlineStr">
        <is>
          <t>Unit.</t>
        </is>
      </c>
      <c r="F7" s="6" t="inlineStr">
        <is>
          <t>V. Total</t>
        </is>
      </c>
      <c r="G7" s="6" t="inlineStr">
        <is>
          <t>Unit.</t>
        </is>
      </c>
      <c r="H7" s="6" t="inlineStr">
        <is>
          <t>V. Total</t>
        </is>
      </c>
      <c r="I7" s="6" t="inlineStr">
        <is>
          <t>Unit.</t>
        </is>
      </c>
      <c r="J7" s="6" t="inlineStr">
        <is>
          <t>V. Total</t>
        </is>
      </c>
    </row>
    <row r="8">
      <c r="A8" s="2" t="n">
        <v>1</v>
      </c>
      <c r="B8" s="7" t="inlineStr">
        <is>
          <t>Cimento CP-II 50kg</t>
        </is>
      </c>
      <c r="C8" s="2" t="n">
        <v>30</v>
      </c>
      <c r="D8" s="2" t="inlineStr">
        <is>
          <t>sacos</t>
        </is>
      </c>
      <c r="E8" s="8" t="n">
        <v>32</v>
      </c>
      <c r="F8" s="8">
        <f>E8*C8</f>
        <v/>
      </c>
      <c r="G8" s="8" t="n">
        <v>30.5</v>
      </c>
      <c r="H8" s="8">
        <f>G8*C8</f>
        <v/>
      </c>
      <c r="I8" s="8" t="n">
        <v>33</v>
      </c>
      <c r="J8" s="8">
        <f>I8*C8</f>
        <v/>
      </c>
    </row>
    <row r="9">
      <c r="A9" s="2" t="n">
        <v>2</v>
      </c>
      <c r="B9" s="7" t="inlineStr">
        <is>
          <t>Fio flexível 2,5mm²</t>
        </is>
      </c>
      <c r="C9" s="2" t="n">
        <v>10</v>
      </c>
      <c r="D9" s="2" t="inlineStr">
        <is>
          <t>rolos</t>
        </is>
      </c>
      <c r="E9" s="8" t="n">
        <v>185</v>
      </c>
      <c r="F9" s="8">
        <f>E9*C9</f>
        <v/>
      </c>
      <c r="G9" s="8" t="n">
        <v>190</v>
      </c>
      <c r="H9" s="8">
        <f>G9*C9</f>
        <v/>
      </c>
      <c r="I9" s="8" t="n">
        <v>175</v>
      </c>
      <c r="J9" s="8">
        <f>I9*C9</f>
        <v/>
      </c>
    </row>
    <row r="10">
      <c r="A10" s="2" t="n">
        <v>3</v>
      </c>
      <c r="B10" s="7" t="inlineStr">
        <is>
          <t>Eletroduto corrugado 3/4"</t>
        </is>
      </c>
      <c r="C10" s="2" t="n">
        <v>6</v>
      </c>
      <c r="D10" s="2" t="inlineStr">
        <is>
          <t>rolos</t>
        </is>
      </c>
      <c r="E10" s="8" t="n">
        <v>94</v>
      </c>
      <c r="F10" s="8">
        <f>E10*C10</f>
        <v/>
      </c>
      <c r="G10" s="8" t="n">
        <v>95</v>
      </c>
      <c r="H10" s="8">
        <f>G10*C10</f>
        <v/>
      </c>
      <c r="I10" s="9" t="inlineStr">
        <is>
          <t>não cotou</t>
        </is>
      </c>
      <c r="J10" s="8" t="n"/>
    </row>
    <row r="11">
      <c r="A11" s="2" t="n">
        <v>4</v>
      </c>
      <c r="B11" s="7" t="inlineStr">
        <is>
          <t>Fita isolante 20m</t>
        </is>
      </c>
      <c r="C11" s="2" t="n">
        <v>12</v>
      </c>
      <c r="D11" s="2" t="inlineStr">
        <is>
          <t>unidades</t>
        </is>
      </c>
      <c r="E11" s="8" t="n">
        <v>4.5</v>
      </c>
      <c r="F11" s="8">
        <f>E11*C11</f>
        <v/>
      </c>
      <c r="G11" s="8" t="n">
        <v>4.2</v>
      </c>
      <c r="H11" s="8">
        <f>G11*C11</f>
        <v/>
      </c>
      <c r="I11" s="8" t="n">
        <v>5</v>
      </c>
      <c r="J11" s="8">
        <f>I11*C11</f>
        <v/>
      </c>
    </row>
    <row r="12">
      <c r="A12" s="1" t="inlineStr">
        <is>
          <t>Total:</t>
        </is>
      </c>
      <c r="B12" s="2" t="n"/>
      <c r="C12" s="2" t="n"/>
      <c r="D12" s="2" t="n"/>
      <c r="E12" s="8">
        <f>SUM(F8:F11)</f>
        <v/>
      </c>
      <c r="F12" s="2" t="n"/>
      <c r="G12" s="8">
        <f>SUM(H8:H11)</f>
        <v/>
      </c>
      <c r="H12" s="2" t="n"/>
      <c r="I12" s="8">
        <f>SUM(J8:J11)</f>
        <v/>
      </c>
      <c r="J12" s="2" t="n"/>
    </row>
    <row r="13">
      <c r="A13" s="1" t="inlineStr">
        <is>
          <t>Imposto</t>
        </is>
      </c>
      <c r="B13" s="2" t="n"/>
      <c r="C13" s="2" t="n"/>
      <c r="D13" s="2" t="n"/>
      <c r="E13" s="10" t="n">
        <v>0</v>
      </c>
      <c r="F13" t="inlineStr">
        <is>
          <t>Incluso</t>
        </is>
      </c>
      <c r="G13" s="10" t="n">
        <v>120</v>
      </c>
      <c r="H13" t="inlineStr">
        <is>
          <t>Imposto destacado à parte</t>
        </is>
      </c>
      <c r="I13" s="10" t="n">
        <v>0</v>
      </c>
      <c r="J13" t="inlineStr">
        <is>
          <t>Incluso</t>
        </is>
      </c>
    </row>
    <row r="14">
      <c r="A14" s="1" t="inlineStr">
        <is>
          <t>Frete</t>
        </is>
      </c>
      <c r="B14" s="2" t="n"/>
      <c r="C14" s="2" t="n"/>
      <c r="D14" s="2" t="n"/>
      <c r="E14" s="10" t="n">
        <v>80</v>
      </c>
      <c r="F14" t="inlineStr">
        <is>
          <t>Entrega cobrada à parte</t>
        </is>
      </c>
      <c r="G14" s="10" t="n">
        <v>0</v>
      </c>
      <c r="H14" t="inlineStr">
        <is>
          <t>CIF</t>
        </is>
      </c>
      <c r="I14" s="10" t="n">
        <v>0</v>
      </c>
      <c r="J14" t="inlineStr">
        <is>
          <t>A combinar</t>
        </is>
      </c>
    </row>
    <row r="15">
      <c r="A15" s="1" t="inlineStr">
        <is>
          <t>Desconto</t>
        </is>
      </c>
      <c r="B15" s="2" t="n"/>
      <c r="C15" s="2" t="n"/>
      <c r="D15" s="2" t="n"/>
      <c r="E15" s="11">
        <f>IF(E12&gt;0,F15/E12,0)</f>
        <v/>
      </c>
      <c r="F15" s="10">
        <f>E12*0.05</f>
        <v/>
      </c>
      <c r="G15" s="11">
        <f>IF(G12&gt;0,H15/G12,0)</f>
        <v/>
      </c>
      <c r="H15" s="10" t="n">
        <v>20</v>
      </c>
      <c r="I15" s="11">
        <f>IF(I12&gt;0,J15/I12,0)</f>
        <v/>
      </c>
      <c r="J15" s="10" t="n">
        <v>0</v>
      </c>
    </row>
    <row r="16">
      <c r="A16" s="1" t="inlineStr">
        <is>
          <t>Total Geral</t>
        </is>
      </c>
      <c r="B16" s="2" t="n"/>
      <c r="C16" s="2" t="n"/>
      <c r="D16" s="2" t="n"/>
      <c r="E16" s="12">
        <f>E12+E14-F15</f>
        <v/>
      </c>
      <c r="F16" s="2" t="n"/>
      <c r="G16" s="13">
        <f>G12+G13+G14-H15</f>
        <v/>
      </c>
      <c r="H16" s="2" t="n"/>
      <c r="I16" s="13">
        <f>I12+I14-J15</f>
        <v/>
      </c>
      <c r="J16" s="2" t="n"/>
    </row>
    <row r="17">
      <c r="A17" s="1" t="inlineStr">
        <is>
          <t>Itens sem cotação</t>
        </is>
      </c>
      <c r="B17" s="2" t="n"/>
      <c r="C17" s="2" t="n"/>
      <c r="D17" s="2" t="n"/>
      <c r="E17" s="2">
        <f>COUNTIF(E8:E11,"não cotou")</f>
        <v/>
      </c>
      <c r="F17" s="2" t="n"/>
      <c r="G17" s="2">
        <f>COUNTIF(G8:G11,"não cotou")</f>
        <v/>
      </c>
      <c r="H17" s="2" t="n"/>
      <c r="I17" s="2">
        <f>COUNTIF(I8:I11,"não cotou")</f>
        <v/>
      </c>
      <c r="J17" s="2" t="n"/>
    </row>
    <row r="18" ht="60" customHeight="1">
      <c r="A18" s="1" t="inlineStr">
        <is>
          <t>Observação do fornecedor</t>
        </is>
      </c>
      <c r="B18" s="2" t="n"/>
      <c r="C18" s="2" t="n"/>
      <c r="D18" s="2" t="n"/>
      <c r="E18" s="14" t="n"/>
      <c r="F18" s="2" t="n"/>
      <c r="G18" s="14" t="inlineStr">
        <is>
          <t>Fita isolante de marca própria.</t>
        </is>
      </c>
      <c r="H18" s="2" t="n"/>
      <c r="I18" s="14" t="inlineStr">
        <is>
          <t>Não cotou: Eletroduto corrugado 3/4"
Itens ofertados fora do pedido: Cola para eletroduto 175g - R$ 18,00</t>
        </is>
      </c>
      <c r="J18" s="2" t="n"/>
    </row>
    <row r="20">
      <c r="A20" s="3" t="inlineStr">
        <is>
          <t>RESUMO DE NEGOCIAÇÃO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1" t="inlineStr">
        <is>
          <t>Condições de pagamento</t>
        </is>
      </c>
      <c r="B21" s="2" t="n"/>
      <c r="C21" s="2" t="n"/>
      <c r="D21" s="2" t="n"/>
      <c r="E21" s="5" t="inlineStr">
        <is>
          <t>28 dias</t>
        </is>
      </c>
      <c r="F21" s="2" t="n"/>
      <c r="G21" s="5" t="inlineStr">
        <is>
          <t>30/60 dias</t>
        </is>
      </c>
      <c r="H21" s="2" t="n"/>
      <c r="I21" s="5" t="inlineStr">
        <is>
          <t>À vista</t>
        </is>
      </c>
      <c r="J21" s="2" t="n"/>
    </row>
    <row r="22">
      <c r="A22" s="1" t="inlineStr">
        <is>
          <t>Prazo para execução do serviço</t>
        </is>
      </c>
      <c r="B22" s="2" t="n"/>
      <c r="C22" s="2" t="n"/>
      <c r="D22" s="2" t="n"/>
      <c r="E22" s="5" t="inlineStr">
        <is>
          <t>Não se aplica</t>
        </is>
      </c>
      <c r="F22" s="2" t="n"/>
      <c r="G22" s="5" t="inlineStr">
        <is>
          <t>Não se aplica</t>
        </is>
      </c>
      <c r="H22" s="2" t="n"/>
      <c r="I22" s="5" t="inlineStr">
        <is>
          <t>Não se aplica</t>
        </is>
      </c>
      <c r="J22" s="2" t="n"/>
    </row>
    <row r="23">
      <c r="A23" s="1" t="inlineStr">
        <is>
          <t>Prazo para entrega do material</t>
        </is>
      </c>
      <c r="B23" s="2" t="n"/>
      <c r="C23" s="2" t="n"/>
      <c r="D23" s="2" t="n"/>
      <c r="E23" s="5" t="inlineStr">
        <is>
          <t>3 dias úteis</t>
        </is>
      </c>
      <c r="F23" s="2" t="n"/>
      <c r="G23" s="5" t="inlineStr">
        <is>
          <t>5 dias úteis</t>
        </is>
      </c>
      <c r="H23" s="2" t="n"/>
      <c r="I23" s="5" t="inlineStr">
        <is>
          <t>2 dias úteis</t>
        </is>
      </c>
      <c r="J23" s="2" t="n"/>
    </row>
    <row r="24">
      <c r="A24" s="1" t="inlineStr">
        <is>
          <t>Validade da proposta</t>
        </is>
      </c>
      <c r="B24" s="2" t="n"/>
      <c r="C24" s="2" t="n"/>
      <c r="D24" s="2" t="n"/>
      <c r="E24" s="5" t="inlineStr">
        <is>
          <t>10 dias</t>
        </is>
      </c>
      <c r="F24" s="2" t="n"/>
      <c r="G24" s="5" t="inlineStr">
        <is>
          <t>7 dias</t>
        </is>
      </c>
      <c r="H24" s="2" t="n"/>
      <c r="I24" s="5" t="inlineStr">
        <is>
          <t>5 dias</t>
        </is>
      </c>
      <c r="J24" s="2" t="n"/>
    </row>
    <row r="25" ht="60" customHeight="1">
      <c r="A25" s="1" t="inlineStr">
        <is>
          <t>Observação do comprador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mergeCells count="54">
    <mergeCell ref="E12:F12"/>
    <mergeCell ref="A17:D17"/>
    <mergeCell ref="A23:D23"/>
    <mergeCell ref="G12:H12"/>
    <mergeCell ref="G21:H21"/>
    <mergeCell ref="I6:J6"/>
    <mergeCell ref="A22:D22"/>
    <mergeCell ref="E24:F24"/>
    <mergeCell ref="E5:F5"/>
    <mergeCell ref="E23:F23"/>
    <mergeCell ref="A20:J20"/>
    <mergeCell ref="G23:H23"/>
    <mergeCell ref="E17:F17"/>
    <mergeCell ref="G17:H17"/>
    <mergeCell ref="A13:D13"/>
    <mergeCell ref="C4:C7"/>
    <mergeCell ref="E4:F4"/>
    <mergeCell ref="G22:H22"/>
    <mergeCell ref="I16:J16"/>
    <mergeCell ref="A15:D15"/>
    <mergeCell ref="A24:D24"/>
    <mergeCell ref="G6:H6"/>
    <mergeCell ref="I22:J22"/>
    <mergeCell ref="G18:H18"/>
    <mergeCell ref="I18:J18"/>
    <mergeCell ref="I21:J21"/>
    <mergeCell ref="E25:J25"/>
    <mergeCell ref="A1:J1"/>
    <mergeCell ref="D4:D7"/>
    <mergeCell ref="E6:F6"/>
    <mergeCell ref="I12:J12"/>
    <mergeCell ref="G24:H24"/>
    <mergeCell ref="I24:J24"/>
    <mergeCell ref="G5:H5"/>
    <mergeCell ref="A25:D25"/>
    <mergeCell ref="I5:J5"/>
    <mergeCell ref="I23:J23"/>
    <mergeCell ref="A16:D16"/>
    <mergeCell ref="I17:J17"/>
    <mergeCell ref="A4:A7"/>
    <mergeCell ref="G4:H4"/>
    <mergeCell ref="A18:D18"/>
    <mergeCell ref="I4:J4"/>
    <mergeCell ref="E16:F16"/>
    <mergeCell ref="E21:F21"/>
    <mergeCell ref="G16:H16"/>
    <mergeCell ref="A12:D12"/>
    <mergeCell ref="B4:B7"/>
    <mergeCell ref="A3:J3"/>
    <mergeCell ref="A21:D21"/>
    <mergeCell ref="E22:F22"/>
    <mergeCell ref="A2:J2"/>
    <mergeCell ref="E18:F18"/>
    <mergeCell ref="A14:D14"/>
  </mergeCells>
  <conditionalFormatting sqref="E8:E11">
    <cfRule type="expression" priority="1" dxfId="0">
      <formula>AND(ISNUMBER(E8),E8=MIN($E8,$G8,$I8))</formula>
    </cfRule>
  </conditionalFormatting>
  <conditionalFormatting sqref="G8:G11">
    <cfRule type="expression" priority="2" dxfId="0">
      <formula>AND(ISNUMBER(G8),G8=MIN($E8,$G8,$I8))</formula>
    </cfRule>
  </conditionalFormatting>
  <conditionalFormatting sqref="I8:I11">
    <cfRule type="expression" priority="3" dxfId="0">
      <formula>AND(ISNUMBER(I8),I8=MIN($E8,$G8,$I8))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agente-compras-whatsapp</dc:creator>
  <dcterms:created xmlns:dcterms="http://purl.org/dc/terms/" xmlns:xsi="http://www.w3.org/2001/XMLSchema-instance" xsi:type="dcterms:W3CDTF">2026-10-28T20:27:33Z</dcterms:created>
  <dcterms:modified xmlns:dcterms="http://purl.org/dc/terms/" xmlns:xsi="http://www.w3.org/2001/XMLSchema-instance" xsi:type="dcterms:W3CDTF">2026-10-28T20:27:33Z</dcterms:modified>
</cp:coreProperties>
</file>